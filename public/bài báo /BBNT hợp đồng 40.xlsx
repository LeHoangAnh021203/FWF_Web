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hu Thuy Ha\Dropbox\HDong\HĐ 2025\HĐKT RA\T5.2025\FB NETWORK - 40\"/>
    </mc:Choice>
  </mc:AlternateContent>
  <bookViews>
    <workbookView xWindow="-105" yWindow="-105" windowWidth="23250" windowHeight="12450"/>
  </bookViews>
  <sheets>
    <sheet name="Sheet1" sheetId="1" r:id="rId1"/>
  </sheets>
  <definedNames>
    <definedName name="_xlnm.Print_Area" localSheetId="0">Sheet1!$A$1:$J$29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1" l="1"/>
  <c r="J10" i="1" l="1"/>
  <c r="J11" i="1"/>
  <c r="J12" i="1"/>
  <c r="J9" i="1"/>
  <c r="J14" i="1" l="1"/>
  <c r="J15" i="1" s="1"/>
  <c r="J16" i="1" l="1"/>
</calcChain>
</file>

<file path=xl/sharedStrings.xml><?xml version="1.0" encoding="utf-8"?>
<sst xmlns="http://schemas.openxmlformats.org/spreadsheetml/2006/main" count="44" uniqueCount="33">
  <si>
    <t>Ngày</t>
  </si>
  <si>
    <t>Tháng</t>
  </si>
  <si>
    <t>Tên báo / website</t>
  </si>
  <si>
    <t>Pr</t>
  </si>
  <si>
    <t>SL</t>
  </si>
  <si>
    <t>Khách Hàng</t>
  </si>
  <si>
    <t>Đơn giá</t>
  </si>
  <si>
    <t>CK</t>
  </si>
  <si>
    <t>Thành Tiền</t>
  </si>
  <si>
    <t>Tổng</t>
  </si>
  <si>
    <t>Thuế VAT 8%</t>
  </si>
  <si>
    <t xml:space="preserve">Tổng thành tiền </t>
  </si>
  <si>
    <t>CÔNG TY TNHH TRUYỀN THÔNG SỨC MẠNH VIỆT NAM</t>
  </si>
  <si>
    <t xml:space="preserve">BIÊN BẢN NGHIỆM THU </t>
  </si>
  <si>
    <t>Link nghiệm thu bài</t>
  </si>
  <si>
    <t xml:space="preserve">ĐẠI DIỆN </t>
  </si>
  <si>
    <t>CÔNG TY TRUYỀN THÔNG SỨC MẠNH VIỆT NAM</t>
  </si>
  <si>
    <t>Hợp đồng kinh tế số: 40 VNP HĐKT 2025</t>
  </si>
  <si>
    <t>CÔNG TY CỔ PHẦN FB NETWORK</t>
  </si>
  <si>
    <t>Hôm nay, ngày    tháng 06 năm 2025, hai bên đồng ý nghiệm thu các hạng mục đã thực hiện của hợp đồng  kinh tế số 40 VNP HĐKT 2025 như sau:</t>
  </si>
  <si>
    <t xml:space="preserve">Biên bản nghiệm thu này được lập thành 02(hai) bản có giá trị pháp lý như nhau của hợp đồng kinh tế số 40 VNP HĐKT 2025, mỗi bên giữ 01(một) bản </t>
  </si>
  <si>
    <t>Tienphong.vn</t>
  </si>
  <si>
    <t>Vtv.vn</t>
  </si>
  <si>
    <t>Thanhnien.vn</t>
  </si>
  <si>
    <t>Laodong.vn</t>
  </si>
  <si>
    <t>https://tienphong.vn/face-wash-fox-hanh-trinh-tu-y-tuong-den-thuong-hieu-tien-phong-post1746632.tpo</t>
  </si>
  <si>
    <t>https://laodong.vn/thong-tin-doanh-nghiep/face-wash-fox-va-hanh-trinh-kien-tao-van-hoa-doanh-nghiep-tan-tam-chat-luong-va-hien-dai-1514948.ldo</t>
  </si>
  <si>
    <t>https://thanhnien.vn/nhung-bac-thang-tao-nen-ky-tich-doi-ngu-sang-lap-face-wash-fox-185250529162637056.htm</t>
  </si>
  <si>
    <t>https://vtv.vn/goc-doanh-nghiep/bi-mat-bieu-tuong-logo-face-wash-fox-va-hanh-trinh-cham-toi-trai-tim-khach-hang-20250530131234978.htm</t>
  </si>
  <si>
    <t>FB NETWORK</t>
  </si>
  <si>
    <t>https://phunu.nld.com.vn/face-wash-fox-tien-phong-trong-linh-vuc-cham-soc-da-cong-nghe-cao-19625060717242279.htm</t>
  </si>
  <si>
    <t>Bằng chữ: Hai mươi tám triệu bốn trăm bốn mươi bảy nghìn hai trăm đồng.</t>
  </si>
  <si>
    <t>Phunu.nld.com.vn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</si>
</sst>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1" x14ac:knownFonts="1">
    <font>
      <sz val="12"/>
      <color theme="1"/>
      <name val="Times New Roman"/>
      <family val="2"/>
    </font>
    <font>
      <sz val="12"/>
      <color theme="1"/>
      <name val="Times New Roman"/>
      <family val="2"/>
    </font>
    <font>
      <b/>
      <sz val="12"/>
      <color theme="1"/>
      <name val="Times New Roman"/>
      <family val="1"/>
      <charset val="163"/>
    </font>
    <font>
      <sz val="12"/>
      <color theme="1"/>
      <name val="Times New Roman"/>
      <family val="1"/>
      <charset val="163"/>
    </font>
    <font>
      <u/>
      <sz val="12"/>
      <color theme="10"/>
      <name val="Times New Roman"/>
      <family val="2"/>
    </font>
    <font>
      <b/>
      <sz val="12"/>
      <color theme="1"/>
      <name val="Times New Roman"/>
      <family val="1"/>
    </font>
    <font>
      <b/>
      <sz val="16"/>
      <color theme="1"/>
      <name val="Times New Roman"/>
      <family val="1"/>
    </font>
    <font>
      <u/>
      <sz val="12"/>
      <color theme="1"/>
      <name val="Times New Roman"/>
      <family val="2"/>
    </font>
    <font>
      <sz val="12"/>
      <color rgb="FF000000"/>
      <name val="Times New Roman"/>
      <family val="1"/>
      <charset val="163"/>
    </font>
    <font>
      <i/>
      <sz val="12"/>
      <color theme="1"/>
      <name val="Times New Roman"/>
      <family val="1"/>
    </font>
    <font>
      <sz val="12"/>
      <color rgb="FF222222"/>
      <name val="Times New Roman"/>
      <family val="1"/>
      <charset val="163"/>
    </font>
  </fonts>
  <fills count="6">
    <fill>
      <patternFill patternType="none"/>
    </fill>
    <fill>
      <patternFill patternType="gray125"/>
    </fill>
    <fill>
      <patternFill patternType="solid">
        <fgColor rgb="FF999999"/>
        <bgColor indexed="64"/>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1" fillId="0" borderId="0" applyFont="0" applyFill="0" applyBorder="0" applyAlignment="0" applyProtection="0"/>
    <xf numFmtId="0" fontId="4" fillId="0" borderId="0" applyNumberFormat="0" applyFill="0" applyBorder="0" applyAlignment="0" applyProtection="0"/>
  </cellStyleXfs>
  <cellXfs count="48">
    <xf numFmtId="0" fontId="0" fillId="0" borderId="0" xfId="0"/>
    <xf numFmtId="165" fontId="0" fillId="0" borderId="0" xfId="1" applyNumberFormat="1" applyFont="1"/>
    <xf numFmtId="0" fontId="2" fillId="0" borderId="1" xfId="0" applyFont="1" applyBorder="1"/>
    <xf numFmtId="165" fontId="2" fillId="0" borderId="1" xfId="1" applyNumberFormat="1" applyFont="1" applyBorder="1"/>
    <xf numFmtId="0" fontId="0" fillId="0" borderId="0" xfId="0" applyAlignment="1">
      <alignment wrapText="1"/>
    </xf>
    <xf numFmtId="0" fontId="2" fillId="0" borderId="1" xfId="0" applyFont="1" applyBorder="1" applyAlignment="1">
      <alignment wrapText="1"/>
    </xf>
    <xf numFmtId="0" fontId="0" fillId="0" borderId="0" xfId="0" applyAlignment="1">
      <alignment horizontal="center" wrapText="1"/>
    </xf>
    <xf numFmtId="0" fontId="5" fillId="0" borderId="0" xfId="0" applyFont="1"/>
    <xf numFmtId="0" fontId="3" fillId="0" borderId="1" xfId="0" applyFont="1" applyBorder="1" applyAlignment="1">
      <alignment horizontal="center"/>
    </xf>
    <xf numFmtId="0" fontId="3" fillId="0" borderId="1" xfId="0" applyFont="1" applyBorder="1"/>
    <xf numFmtId="9" fontId="8" fillId="0" borderId="1" xfId="0" applyNumberFormat="1" applyFont="1" applyBorder="1" applyAlignment="1">
      <alignment horizontal="center" vertical="center"/>
    </xf>
    <xf numFmtId="165" fontId="3" fillId="3" borderId="1" xfId="1" applyNumberFormat="1" applyFont="1" applyFill="1" applyBorder="1" applyAlignment="1">
      <alignment horizontal="right" wrapText="1"/>
    </xf>
    <xf numFmtId="9" fontId="3" fillId="3" borderId="1" xfId="0" applyNumberFormat="1" applyFont="1" applyFill="1" applyBorder="1" applyAlignment="1">
      <alignment horizontal="center" vertical="center" wrapText="1"/>
    </xf>
    <xf numFmtId="0" fontId="2" fillId="2" borderId="2" xfId="0" applyFont="1" applyFill="1" applyBorder="1" applyAlignment="1">
      <alignment horizontal="center"/>
    </xf>
    <xf numFmtId="0" fontId="2" fillId="2" borderId="3" xfId="0" applyFont="1" applyFill="1" applyBorder="1"/>
    <xf numFmtId="0" fontId="2" fillId="2" borderId="3" xfId="0" applyFont="1" applyFill="1" applyBorder="1" applyAlignment="1">
      <alignment wrapText="1"/>
    </xf>
    <xf numFmtId="0" fontId="2" fillId="2" borderId="3" xfId="0" applyFont="1" applyFill="1" applyBorder="1" applyAlignment="1">
      <alignment horizontal="center"/>
    </xf>
    <xf numFmtId="165" fontId="2" fillId="2" borderId="3" xfId="1" applyNumberFormat="1" applyFont="1" applyFill="1" applyBorder="1" applyAlignment="1"/>
    <xf numFmtId="0" fontId="2" fillId="2" borderId="4" xfId="0" applyFont="1" applyFill="1" applyBorder="1"/>
    <xf numFmtId="0" fontId="3" fillId="0" borderId="5" xfId="0" applyFont="1" applyBorder="1" applyAlignment="1">
      <alignment horizontal="center"/>
    </xf>
    <xf numFmtId="165" fontId="8" fillId="0" borderId="6" xfId="1" applyNumberFormat="1" applyFont="1" applyBorder="1" applyAlignment="1">
      <alignment horizontal="right"/>
    </xf>
    <xf numFmtId="165" fontId="2" fillId="0" borderId="6" xfId="0" applyNumberFormat="1" applyFont="1" applyBorder="1"/>
    <xf numFmtId="0" fontId="2" fillId="2" borderId="3" xfId="0" applyFont="1" applyFill="1" applyBorder="1" applyAlignment="1">
      <alignment horizontal="center" wrapText="1"/>
    </xf>
    <xf numFmtId="0" fontId="2" fillId="0" borderId="8" xfId="0" applyFont="1" applyBorder="1"/>
    <xf numFmtId="0" fontId="2" fillId="0" borderId="8" xfId="0" applyFont="1" applyBorder="1" applyAlignment="1">
      <alignment wrapText="1"/>
    </xf>
    <xf numFmtId="165" fontId="2" fillId="0" borderId="8" xfId="1" applyNumberFormat="1" applyFont="1" applyBorder="1"/>
    <xf numFmtId="165" fontId="2" fillId="0" borderId="9" xfId="0" applyNumberFormat="1" applyFont="1" applyBorder="1"/>
    <xf numFmtId="0" fontId="5" fillId="0" borderId="0" xfId="0" applyFont="1" applyAlignment="1">
      <alignment horizontal="center"/>
    </xf>
    <xf numFmtId="4" fontId="2" fillId="0" borderId="6" xfId="0" applyNumberFormat="1" applyFont="1" applyBorder="1"/>
    <xf numFmtId="0" fontId="10" fillId="4" borderId="13" xfId="0" applyFont="1" applyFill="1" applyBorder="1" applyAlignment="1">
      <alignment wrapText="1"/>
    </xf>
    <xf numFmtId="0" fontId="1" fillId="0" borderId="1" xfId="2" applyFont="1" applyFill="1" applyBorder="1" applyAlignment="1"/>
    <xf numFmtId="0" fontId="3" fillId="0" borderId="1" xfId="0" applyFont="1" applyBorder="1" applyAlignment="1"/>
    <xf numFmtId="0" fontId="7" fillId="0" borderId="0" xfId="2" applyFont="1" applyAlignment="1">
      <alignment wrapText="1"/>
    </xf>
    <xf numFmtId="0" fontId="1" fillId="0" borderId="0" xfId="2" applyFont="1"/>
    <xf numFmtId="0" fontId="6" fillId="0" borderId="0" xfId="0" applyFont="1" applyAlignment="1">
      <alignment horizontal="center" wrapText="1"/>
    </xf>
    <xf numFmtId="0" fontId="0" fillId="0" borderId="0" xfId="0" applyAlignment="1">
      <alignment horizontal="center" wrapText="1"/>
    </xf>
    <xf numFmtId="0" fontId="9" fillId="0" borderId="10" xfId="0"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5" fillId="0" borderId="0" xfId="0" applyFont="1" applyAlignment="1">
      <alignment horizontal="center" wrapText="1"/>
    </xf>
    <xf numFmtId="0" fontId="5" fillId="0" borderId="0" xfId="0" applyFont="1" applyAlignment="1">
      <alignment horizontal="left" vertical="center"/>
    </xf>
    <xf numFmtId="0" fontId="2" fillId="0" borderId="5" xfId="0" applyFont="1" applyBorder="1" applyAlignment="1">
      <alignment horizontal="center"/>
    </xf>
    <xf numFmtId="0" fontId="2" fillId="0" borderId="1"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3" fillId="5" borderId="1" xfId="0" applyFont="1" applyFill="1" applyBorder="1" applyAlignment="1"/>
    <xf numFmtId="165" fontId="8" fillId="5" borderId="1" xfId="1" applyNumberFormat="1" applyFont="1" applyFill="1" applyBorder="1" applyAlignment="1">
      <alignment horizontal="right" vertical="center"/>
    </xf>
    <xf numFmtId="165" fontId="3" fillId="5" borderId="1" xfId="1" applyNumberFormat="1" applyFont="1" applyFill="1" applyBorder="1" applyAlignment="1">
      <alignment horizontal="right"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hanhnien.vn/nhung-bac-thang-tao-nen-ky-tich-doi-ngu-sang-lap-face-wash-fox-185250529162637056.htm" TargetMode="External"/><Relationship Id="rId7" Type="http://schemas.openxmlformats.org/officeDocument/2006/relationships/printerSettings" Target="../printerSettings/printerSettings1.bin"/><Relationship Id="rId2" Type="http://schemas.openxmlformats.org/officeDocument/2006/relationships/hyperlink" Target="https://laodong.vn/thong-tin-doanh-nghiep/face-wash-fox-va-hanh-trinh-kien-tao-van-hoa-doanh-nghiep-tan-tam-chat-luong-va-hien-dai-1514948.ldo" TargetMode="External"/><Relationship Id="rId1" Type="http://schemas.openxmlformats.org/officeDocument/2006/relationships/hyperlink" Target="https://tienphong.vn/face-wash-fox-hanh-trinh-tu-y-tuong-den-thuong-hieu-tien-phong-post1746632.tpo" TargetMode="External"/><Relationship Id="rId6" Type="http://schemas.openxmlformats.org/officeDocument/2006/relationships/hyperlink" Target="http://phunu.nld.com.vn/" TargetMode="External"/><Relationship Id="rId5" Type="http://schemas.openxmlformats.org/officeDocument/2006/relationships/hyperlink" Target="https://phunu.nld.com.vn/face-wash-fox-tien-phong-trong-linh-vuc-cham-soc-da-cong-nghe-cao-19625060717242279.htm" TargetMode="External"/><Relationship Id="rId4" Type="http://schemas.openxmlformats.org/officeDocument/2006/relationships/hyperlink" Target="https://vtv.vn/goc-doanh-nghiep/bi-mat-bieu-tuong-logo-face-wash-fox-va-hanh-trinh-cham-toi-trai-tim-khach-hang-2025053013123497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abSelected="1" zoomScaleNormal="100" zoomScaleSheetLayoutView="85" workbookViewId="0">
      <selection activeCell="M11" sqref="M11"/>
    </sheetView>
  </sheetViews>
  <sheetFormatPr defaultRowHeight="15.75" x14ac:dyDescent="0.25"/>
  <cols>
    <col min="1" max="1" width="6.625" customWidth="1"/>
    <col min="2" max="2" width="6.75" customWidth="1"/>
    <col min="3" max="3" width="23" customWidth="1"/>
    <col min="4" max="4" width="5.375" customWidth="1"/>
    <col min="5" max="5" width="62.875" style="4" customWidth="1"/>
    <col min="6" max="6" width="5.25" customWidth="1"/>
    <col min="7" max="7" width="16.875" style="4" customWidth="1"/>
    <col min="8" max="8" width="13.125" style="1" customWidth="1"/>
    <col min="9" max="9" width="6.25" customWidth="1"/>
    <col min="10" max="10" width="16.375" customWidth="1"/>
  </cols>
  <sheetData>
    <row r="1" spans="1:10" x14ac:dyDescent="0.25">
      <c r="A1" s="7" t="s">
        <v>12</v>
      </c>
      <c r="F1" s="7" t="s">
        <v>18</v>
      </c>
    </row>
    <row r="3" spans="1:10" ht="20.25" x14ac:dyDescent="0.3">
      <c r="D3" s="34" t="s">
        <v>13</v>
      </c>
      <c r="E3" s="34"/>
      <c r="F3" s="34"/>
    </row>
    <row r="4" spans="1:10" x14ac:dyDescent="0.25">
      <c r="D4" s="35" t="s">
        <v>17</v>
      </c>
      <c r="E4" s="35"/>
      <c r="F4" s="35"/>
    </row>
    <row r="5" spans="1:10" x14ac:dyDescent="0.25">
      <c r="D5" s="6"/>
      <c r="E5" s="6"/>
      <c r="F5" s="6"/>
    </row>
    <row r="6" spans="1:10" x14ac:dyDescent="0.25">
      <c r="A6" t="s">
        <v>19</v>
      </c>
    </row>
    <row r="7" spans="1:10" ht="16.5" thickBot="1" x14ac:dyDescent="0.3"/>
    <row r="8" spans="1:10" x14ac:dyDescent="0.25">
      <c r="A8" s="13" t="s">
        <v>0</v>
      </c>
      <c r="B8" s="14" t="s">
        <v>1</v>
      </c>
      <c r="C8" s="14" t="s">
        <v>2</v>
      </c>
      <c r="D8" s="14" t="s">
        <v>3</v>
      </c>
      <c r="E8" s="22" t="s">
        <v>14</v>
      </c>
      <c r="F8" s="16" t="s">
        <v>4</v>
      </c>
      <c r="G8" s="15" t="s">
        <v>5</v>
      </c>
      <c r="H8" s="17" t="s">
        <v>6</v>
      </c>
      <c r="I8" s="14" t="s">
        <v>7</v>
      </c>
      <c r="J8" s="18" t="s">
        <v>8</v>
      </c>
    </row>
    <row r="9" spans="1:10" ht="31.5" x14ac:dyDescent="0.25">
      <c r="A9" s="19">
        <v>29</v>
      </c>
      <c r="B9" s="8">
        <v>5</v>
      </c>
      <c r="C9" s="30" t="s">
        <v>21</v>
      </c>
      <c r="D9" s="9" t="s">
        <v>3</v>
      </c>
      <c r="E9" s="29" t="s">
        <v>25</v>
      </c>
      <c r="F9" s="8">
        <v>1</v>
      </c>
      <c r="G9" s="45" t="s">
        <v>29</v>
      </c>
      <c r="H9" s="46">
        <v>6000000</v>
      </c>
      <c r="I9" s="10">
        <v>0.3</v>
      </c>
      <c r="J9" s="20">
        <f>(H9-H9*I9)</f>
        <v>4200000</v>
      </c>
    </row>
    <row r="10" spans="1:10" ht="31.5" x14ac:dyDescent="0.25">
      <c r="A10" s="19">
        <v>30</v>
      </c>
      <c r="B10" s="8">
        <v>5</v>
      </c>
      <c r="C10" s="30" t="s">
        <v>24</v>
      </c>
      <c r="D10" s="9" t="s">
        <v>3</v>
      </c>
      <c r="E10" s="29" t="s">
        <v>26</v>
      </c>
      <c r="F10" s="8">
        <v>1</v>
      </c>
      <c r="G10" s="45" t="s">
        <v>29</v>
      </c>
      <c r="H10" s="46">
        <v>8000000</v>
      </c>
      <c r="I10" s="10">
        <v>0.2</v>
      </c>
      <c r="J10" s="20">
        <f t="shared" ref="J10:J13" si="0">(H10-H10*I10)</f>
        <v>6400000</v>
      </c>
    </row>
    <row r="11" spans="1:10" ht="31.5" x14ac:dyDescent="0.25">
      <c r="A11" s="19">
        <v>30</v>
      </c>
      <c r="B11" s="8">
        <v>5</v>
      </c>
      <c r="C11" s="30" t="s">
        <v>23</v>
      </c>
      <c r="D11" s="9" t="s">
        <v>3</v>
      </c>
      <c r="E11" s="29" t="s">
        <v>27</v>
      </c>
      <c r="F11" s="8">
        <v>1</v>
      </c>
      <c r="G11" s="45" t="s">
        <v>29</v>
      </c>
      <c r="H11" s="46">
        <v>12000000</v>
      </c>
      <c r="I11" s="10">
        <v>0.18</v>
      </c>
      <c r="J11" s="20">
        <f t="shared" si="0"/>
        <v>9840000</v>
      </c>
    </row>
    <row r="12" spans="1:10" ht="31.5" x14ac:dyDescent="0.25">
      <c r="A12" s="19">
        <v>30</v>
      </c>
      <c r="B12" s="8">
        <v>5</v>
      </c>
      <c r="C12" s="30" t="s">
        <v>22</v>
      </c>
      <c r="D12" s="9" t="s">
        <v>3</v>
      </c>
      <c r="E12" s="29" t="s">
        <v>28</v>
      </c>
      <c r="F12" s="8">
        <v>1</v>
      </c>
      <c r="G12" s="45" t="s">
        <v>29</v>
      </c>
      <c r="H12" s="47">
        <v>5000000</v>
      </c>
      <c r="I12" s="12">
        <v>0.18</v>
      </c>
      <c r="J12" s="20">
        <f t="shared" si="0"/>
        <v>4100000</v>
      </c>
    </row>
    <row r="13" spans="1:10" ht="31.5" x14ac:dyDescent="0.25">
      <c r="A13" s="19">
        <v>7</v>
      </c>
      <c r="B13" s="8">
        <v>6</v>
      </c>
      <c r="C13" s="33" t="s">
        <v>32</v>
      </c>
      <c r="D13" s="9" t="s">
        <v>3</v>
      </c>
      <c r="E13" s="32" t="s">
        <v>30</v>
      </c>
      <c r="F13" s="8">
        <v>1</v>
      </c>
      <c r="G13" s="31" t="s">
        <v>29</v>
      </c>
      <c r="H13" s="11">
        <v>5000000</v>
      </c>
      <c r="I13" s="10">
        <v>0.5</v>
      </c>
      <c r="J13" s="20">
        <f t="shared" si="0"/>
        <v>2500000</v>
      </c>
    </row>
    <row r="14" spans="1:10" x14ac:dyDescent="0.25">
      <c r="A14" s="41" t="s">
        <v>9</v>
      </c>
      <c r="B14" s="42"/>
      <c r="C14" s="42"/>
      <c r="D14" s="42"/>
      <c r="E14" s="42"/>
      <c r="F14" s="2"/>
      <c r="G14" s="5"/>
      <c r="H14" s="3"/>
      <c r="I14" s="2"/>
      <c r="J14" s="28">
        <f>SUM(J9:J13)</f>
        <v>27040000</v>
      </c>
    </row>
    <row r="15" spans="1:10" x14ac:dyDescent="0.25">
      <c r="A15" s="41" t="s">
        <v>10</v>
      </c>
      <c r="B15" s="42"/>
      <c r="C15" s="42"/>
      <c r="D15" s="42"/>
      <c r="E15" s="42"/>
      <c r="F15" s="2"/>
      <c r="G15" s="5"/>
      <c r="H15" s="3"/>
      <c r="I15" s="2"/>
      <c r="J15" s="21">
        <f>J14*8%</f>
        <v>2163200</v>
      </c>
    </row>
    <row r="16" spans="1:10" x14ac:dyDescent="0.25">
      <c r="A16" s="43" t="s">
        <v>11</v>
      </c>
      <c r="B16" s="44"/>
      <c r="C16" s="44"/>
      <c r="D16" s="44"/>
      <c r="E16" s="44"/>
      <c r="F16" s="23"/>
      <c r="G16" s="24"/>
      <c r="H16" s="25"/>
      <c r="I16" s="23"/>
      <c r="J16" s="26">
        <f>SUM(J14:J15)</f>
        <v>29203200</v>
      </c>
    </row>
    <row r="17" spans="1:10" ht="16.5" thickBot="1" x14ac:dyDescent="0.3">
      <c r="A17" s="36" t="s">
        <v>31</v>
      </c>
      <c r="B17" s="37"/>
      <c r="C17" s="37"/>
      <c r="D17" s="37"/>
      <c r="E17" s="37"/>
      <c r="F17" s="37"/>
      <c r="G17" s="37"/>
      <c r="H17" s="37"/>
      <c r="I17" s="37"/>
      <c r="J17" s="38"/>
    </row>
    <row r="19" spans="1:10" s="7" customFormat="1" x14ac:dyDescent="0.25">
      <c r="A19" s="40" t="s">
        <v>20</v>
      </c>
      <c r="B19" s="40"/>
      <c r="C19" s="40"/>
      <c r="D19" s="40"/>
      <c r="E19" s="40"/>
      <c r="F19" s="40"/>
      <c r="G19" s="40"/>
      <c r="H19" s="40"/>
      <c r="I19" s="40"/>
      <c r="J19" s="40"/>
    </row>
    <row r="20" spans="1:10" s="7" customFormat="1" x14ac:dyDescent="0.25">
      <c r="A20" s="40"/>
      <c r="B20" s="40"/>
      <c r="C20" s="40"/>
      <c r="D20" s="40"/>
      <c r="E20" s="40"/>
      <c r="F20" s="40"/>
      <c r="G20" s="40"/>
      <c r="H20" s="40"/>
      <c r="I20" s="40"/>
      <c r="J20" s="40"/>
    </row>
    <row r="21" spans="1:10" s="7" customFormat="1" x14ac:dyDescent="0.25">
      <c r="A21" s="27"/>
      <c r="B21" s="27"/>
      <c r="C21" s="27"/>
      <c r="D21" s="27"/>
      <c r="E21" s="27"/>
      <c r="F21" s="27"/>
      <c r="G21" s="27"/>
      <c r="H21" s="27"/>
      <c r="I21" s="27"/>
      <c r="J21" s="27"/>
    </row>
    <row r="22" spans="1:10" x14ac:dyDescent="0.25">
      <c r="C22" s="27" t="s">
        <v>15</v>
      </c>
      <c r="G22" s="39" t="s">
        <v>15</v>
      </c>
      <c r="H22" s="39"/>
    </row>
    <row r="23" spans="1:10" x14ac:dyDescent="0.25">
      <c r="B23" s="7" t="s">
        <v>16</v>
      </c>
      <c r="F23" s="7" t="s">
        <v>18</v>
      </c>
    </row>
    <row r="24" spans="1:10" x14ac:dyDescent="0.25">
      <c r="E24"/>
      <c r="F24" s="4"/>
      <c r="G24"/>
      <c r="H24"/>
    </row>
  </sheetData>
  <mergeCells count="8">
    <mergeCell ref="D3:F3"/>
    <mergeCell ref="D4:F4"/>
    <mergeCell ref="A17:J17"/>
    <mergeCell ref="G22:H22"/>
    <mergeCell ref="A19:J20"/>
    <mergeCell ref="A14:E14"/>
    <mergeCell ref="A15:E15"/>
    <mergeCell ref="A16:E16"/>
  </mergeCells>
  <hyperlinks>
    <hyperlink ref="E9" r:id="rId1"/>
    <hyperlink ref="E10" r:id="rId2"/>
    <hyperlink ref="E11" r:id="rId3"/>
    <hyperlink ref="E12" r:id="rId4"/>
    <hyperlink ref="E13" r:id="rId5"/>
    <hyperlink ref="C13" r:id="rId6" display="http://phunu.nld.com.vn/"/>
  </hyperlinks>
  <pageMargins left="0.39370078740157483" right="0" top="0.19685039370078741" bottom="0" header="0" footer="0"/>
  <pageSetup scale="75" orientation="landscape" verticalDpi="0" r:id="rId7"/>
  <rowBreaks count="1" manualBreakCount="1">
    <brk id="3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c:creator>
  <cp:lastModifiedBy>Phu Thuy Ha</cp:lastModifiedBy>
  <cp:lastPrinted>2025-06-09T02:08:56Z</cp:lastPrinted>
  <dcterms:created xsi:type="dcterms:W3CDTF">2025-01-20T02:33:14Z</dcterms:created>
  <dcterms:modified xsi:type="dcterms:W3CDTF">2025-06-13T05:03:31Z</dcterms:modified>
</cp:coreProperties>
</file>