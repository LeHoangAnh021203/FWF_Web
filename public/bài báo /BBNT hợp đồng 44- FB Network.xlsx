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Phu Thuy Ha\Dropbox\HDong\HĐ 2026\HDKT RA\T4.2026\FB NETWORK - 44\"/>
    </mc:Choice>
  </mc:AlternateContent>
  <xr:revisionPtr revIDLastSave="0" documentId="13_ncr:1_{C0817B23-EC2C-4244-96F4-B07BB982C71A}"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Print_Area" localSheetId="0">Sheet1!$A$1:$J$29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3" i="1" l="1"/>
  <c r="J10" i="1" l="1"/>
  <c r="J11" i="1"/>
  <c r="J12" i="1"/>
  <c r="J9" i="1"/>
  <c r="J14" i="1" l="1"/>
  <c r="J15" i="1" s="1"/>
  <c r="J16" i="1" l="1"/>
</calcChain>
</file>

<file path=xl/sharedStrings.xml><?xml version="1.0" encoding="utf-8"?>
<sst xmlns="http://schemas.openxmlformats.org/spreadsheetml/2006/main" count="44" uniqueCount="33">
  <si>
    <t>Ngày</t>
  </si>
  <si>
    <t>Tháng</t>
  </si>
  <si>
    <t>Tên báo / website</t>
  </si>
  <si>
    <t>Pr</t>
  </si>
  <si>
    <t>SL</t>
  </si>
  <si>
    <t>Khách Hàng</t>
  </si>
  <si>
    <t>Đơn giá</t>
  </si>
  <si>
    <t>CK</t>
  </si>
  <si>
    <t>Thành Tiền</t>
  </si>
  <si>
    <t>Tổng</t>
  </si>
  <si>
    <t>Thuế VAT 8%</t>
  </si>
  <si>
    <t xml:space="preserve">Tổng thành tiền </t>
  </si>
  <si>
    <t>CÔNG TY TNHH TRUYỀN THÔNG SỨC MẠNH VIỆT NAM</t>
  </si>
  <si>
    <t xml:space="preserve">BIÊN BẢN NGHIỆM THU </t>
  </si>
  <si>
    <t>Link nghiệm thu bài</t>
  </si>
  <si>
    <t xml:space="preserve">ĐẠI DIỆN </t>
  </si>
  <si>
    <t>CÔNG TY TRUYỀN THÔNG SỨC MẠNH VIỆT NAM</t>
  </si>
  <si>
    <t>CÔNG TY CỔ PHẦN FB NETWORK</t>
  </si>
  <si>
    <t>Tienphong.vn</t>
  </si>
  <si>
    <t>Vtv.vn</t>
  </si>
  <si>
    <t>Laodong.vn</t>
  </si>
  <si>
    <t>FB NETWORK</t>
  </si>
  <si>
    <t>Dantri.com.vn</t>
  </si>
  <si>
    <t>Cafef.vn</t>
  </si>
  <si>
    <t>https://dantri.com.vn/doi-song/tiktoker-anh-mat-vuong-tro-thanh-dai-su-thuong-hieu-cua-face-wash-fox-20260403155244365.htm</t>
  </si>
  <si>
    <t>https://vtv.vn/anh-mat-vuong-tung-khong-nghi-co-mot-ngay-minh-noi-ve-cham-da-10026041314505223.htm</t>
  </si>
  <si>
    <t>https://laodong.vn/thong-tin-doanh-nghiep/mot-ngay-cua-anh-mat-vuong-tai-face-wash-fox-hau-truong-ma-khong-ai-nghi-anh-se-ke-1685234.ldo</t>
  </si>
  <si>
    <t>https://cafef.vn/nam-gioi-viet-cham-soc-da-dep-trai-khong-phai-chuyen-ngai-ngung-188260417170708948.chn</t>
  </si>
  <si>
    <t>https://tienphong.vn/mot-ngay-cua-anh-mat-vuong-tai-face-wash-fox-post1832800.tpo</t>
  </si>
  <si>
    <t>Bằng chữ: Ba mươi tám triệu tám trăm tám mươi nghìn đồng.</t>
  </si>
  <si>
    <t>Hợp đồng kinh tế số: 44 VNP HĐKT 2025</t>
  </si>
  <si>
    <t>Hôm nay, ngày    tháng   năm 2026, hai bên đồng ý nghiệm thu các hạng mục đã thực hiện của hợp đồng  kinh tế số 44 VNP HĐKT 2026 như sau:</t>
  </si>
  <si>
    <t xml:space="preserve">Biên bản nghiệm thu này được lập thành 02(hai) bản có giá trị pháp lý như nhau của hợp đồng kinh tế số 44 VNP HĐKT 2026, mỗi bên giữ 01(một) bản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</si>
</sst>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12" x14ac:knownFonts="1">
    <font>
      <sz val="12"/>
      <color theme="1"/>
      <name val="Times New Roman"/>
      <family val="2"/>
    </font>
    <font>
      <sz val="12"/>
      <color theme="1"/>
      <name val="Times New Roman"/>
      <family val="2"/>
    </font>
    <font>
      <b/>
      <sz val="12"/>
      <color theme="1"/>
      <name val="Times New Roman"/>
      <family val="1"/>
      <charset val="163"/>
    </font>
    <font>
      <sz val="12"/>
      <color theme="1"/>
      <name val="Times New Roman"/>
      <family val="1"/>
      <charset val="163"/>
    </font>
    <font>
      <u/>
      <sz val="12"/>
      <color theme="10"/>
      <name val="Times New Roman"/>
      <family val="2"/>
    </font>
    <font>
      <b/>
      <sz val="12"/>
      <color theme="1"/>
      <name val="Times New Roman"/>
      <family val="1"/>
    </font>
    <font>
      <b/>
      <sz val="16"/>
      <color theme="1"/>
      <name val="Times New Roman"/>
      <family val="1"/>
    </font>
    <font>
      <u/>
      <sz val="12"/>
      <color theme="1"/>
      <name val="Times New Roman"/>
      <family val="2"/>
    </font>
    <font>
      <sz val="12"/>
      <color rgb="FF000000"/>
      <name val="Times New Roman"/>
      <family val="1"/>
      <charset val="163"/>
    </font>
    <font>
      <i/>
      <sz val="12"/>
      <color theme="1"/>
      <name val="Times New Roman"/>
      <family val="1"/>
    </font>
    <font>
      <sz val="12"/>
      <color rgb="FF222222"/>
      <name val="Times New Roman"/>
      <family val="1"/>
      <charset val="163"/>
    </font>
    <font>
      <sz val="10"/>
      <color rgb="FF000000"/>
      <name val="Arial"/>
      <family val="2"/>
      <charset val="163"/>
    </font>
  </fonts>
  <fills count="6">
    <fill>
      <patternFill patternType="none"/>
    </fill>
    <fill>
      <patternFill patternType="gray125"/>
    </fill>
    <fill>
      <patternFill patternType="solid">
        <fgColor rgb="FF999999"/>
        <bgColor indexed="64"/>
      </patternFill>
    </fill>
    <fill>
      <patternFill patternType="solid">
        <fgColor rgb="FFFFFFFF"/>
        <bgColor indexed="64"/>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164" fontId="1" fillId="0" borderId="0" applyFont="0" applyFill="0" applyBorder="0" applyAlignment="0" applyProtection="0"/>
    <xf numFmtId="0" fontId="4" fillId="0" borderId="0" applyNumberFormat="0" applyFill="0" applyBorder="0" applyAlignment="0" applyProtection="0"/>
  </cellStyleXfs>
  <cellXfs count="47">
    <xf numFmtId="0" fontId="0" fillId="0" borderId="0" xfId="0"/>
    <xf numFmtId="165" fontId="0" fillId="0" borderId="0" xfId="1" applyNumberFormat="1" applyFont="1"/>
    <xf numFmtId="0" fontId="2" fillId="0" borderId="1" xfId="0" applyFont="1" applyBorder="1"/>
    <xf numFmtId="165" fontId="2" fillId="0" borderId="1" xfId="1" applyNumberFormat="1" applyFont="1" applyBorder="1"/>
    <xf numFmtId="0" fontId="0" fillId="0" borderId="0" xfId="0" applyAlignment="1">
      <alignment wrapText="1"/>
    </xf>
    <xf numFmtId="0" fontId="2" fillId="0" borderId="1" xfId="0" applyFont="1" applyBorder="1" applyAlignment="1">
      <alignment wrapText="1"/>
    </xf>
    <xf numFmtId="0" fontId="0" fillId="0" borderId="0" xfId="0" applyAlignment="1">
      <alignment horizontal="center" wrapText="1"/>
    </xf>
    <xf numFmtId="0" fontId="5" fillId="0" borderId="0" xfId="0" applyFont="1"/>
    <xf numFmtId="0" fontId="3" fillId="0" borderId="1" xfId="0" applyFont="1" applyBorder="1" applyAlignment="1">
      <alignment horizontal="center"/>
    </xf>
    <xf numFmtId="0" fontId="3" fillId="0" borderId="1" xfId="0" applyFont="1" applyBorder="1"/>
    <xf numFmtId="0" fontId="3" fillId="0" borderId="5" xfId="0" applyFont="1" applyBorder="1" applyAlignment="1">
      <alignment horizontal="center"/>
    </xf>
    <xf numFmtId="165" fontId="8" fillId="0" borderId="6" xfId="1" applyNumberFormat="1" applyFont="1" applyBorder="1" applyAlignment="1">
      <alignment horizontal="right"/>
    </xf>
    <xf numFmtId="165" fontId="2" fillId="0" borderId="6" xfId="0" applyNumberFormat="1" applyFont="1" applyBorder="1"/>
    <xf numFmtId="0" fontId="2" fillId="0" borderId="8" xfId="0" applyFont="1" applyBorder="1"/>
    <xf numFmtId="0" fontId="2" fillId="0" borderId="8" xfId="0" applyFont="1" applyBorder="1" applyAlignment="1">
      <alignment wrapText="1"/>
    </xf>
    <xf numFmtId="165" fontId="2" fillId="0" borderId="8" xfId="1" applyNumberFormat="1" applyFont="1" applyBorder="1"/>
    <xf numFmtId="165" fontId="2" fillId="0" borderId="9" xfId="0" applyNumberFormat="1" applyFont="1" applyBorder="1"/>
    <xf numFmtId="0" fontId="5" fillId="0" borderId="0" xfId="0" applyFont="1" applyAlignment="1">
      <alignment horizontal="center"/>
    </xf>
    <xf numFmtId="0" fontId="10" fillId="4" borderId="13" xfId="0" applyFont="1" applyFill="1" applyBorder="1" applyAlignment="1">
      <alignment wrapText="1"/>
    </xf>
    <xf numFmtId="0" fontId="1" fillId="0" borderId="1" xfId="2" applyFont="1" applyFill="1" applyBorder="1" applyAlignment="1"/>
    <xf numFmtId="0" fontId="7" fillId="0" borderId="0" xfId="2" applyFont="1" applyAlignment="1">
      <alignment wrapText="1"/>
    </xf>
    <xf numFmtId="0" fontId="1" fillId="0" borderId="0" xfId="2" applyFont="1"/>
    <xf numFmtId="0" fontId="3" fillId="5" borderId="1" xfId="0" applyFont="1" applyFill="1" applyBorder="1"/>
    <xf numFmtId="3" fontId="0" fillId="0" borderId="0" xfId="0" applyNumberFormat="1"/>
    <xf numFmtId="3" fontId="11" fillId="0" borderId="0" xfId="0" applyNumberFormat="1" applyFont="1"/>
    <xf numFmtId="165" fontId="3" fillId="5" borderId="1" xfId="1" applyNumberFormat="1" applyFont="1" applyFill="1" applyBorder="1" applyAlignment="1">
      <alignment wrapText="1"/>
    </xf>
    <xf numFmtId="165" fontId="3" fillId="3" borderId="1" xfId="1" applyNumberFormat="1" applyFont="1" applyFill="1" applyBorder="1" applyAlignment="1">
      <alignment wrapText="1"/>
    </xf>
    <xf numFmtId="165" fontId="8" fillId="5" borderId="1" xfId="1" applyNumberFormat="1" applyFont="1" applyFill="1" applyBorder="1" applyAlignment="1"/>
    <xf numFmtId="9" fontId="8" fillId="0" borderId="1" xfId="0" applyNumberFormat="1" applyFont="1" applyBorder="1"/>
    <xf numFmtId="9" fontId="3" fillId="3" borderId="1" xfId="0" applyNumberFormat="1" applyFont="1" applyFill="1" applyBorder="1" applyAlignment="1">
      <alignment wrapText="1"/>
    </xf>
    <xf numFmtId="3" fontId="2" fillId="0" borderId="6" xfId="0" applyNumberFormat="1" applyFont="1" applyBorder="1"/>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3" xfId="0" applyFont="1" applyFill="1" applyBorder="1" applyAlignment="1">
      <alignment horizontal="center" vertical="center"/>
    </xf>
    <xf numFmtId="165" fontId="2" fillId="2" borderId="3" xfId="1" applyNumberFormat="1" applyFont="1" applyFill="1" applyBorder="1" applyAlignment="1">
      <alignment horizontal="center" vertical="center"/>
    </xf>
    <xf numFmtId="0" fontId="2" fillId="2" borderId="4" xfId="0" applyFont="1" applyFill="1" applyBorder="1" applyAlignment="1">
      <alignment horizontal="center" vertical="center"/>
    </xf>
    <xf numFmtId="0" fontId="6" fillId="0" borderId="0" xfId="0" applyFont="1" applyAlignment="1">
      <alignment horizontal="center" wrapText="1"/>
    </xf>
    <xf numFmtId="0" fontId="0" fillId="0" borderId="0" xfId="0" applyAlignment="1">
      <alignment horizontal="center" wrapText="1"/>
    </xf>
    <xf numFmtId="0" fontId="9" fillId="0" borderId="10" xfId="0" applyFont="1" applyBorder="1" applyAlignment="1">
      <alignment horizontal="center"/>
    </xf>
    <xf numFmtId="0" fontId="9" fillId="0" borderId="11" xfId="0" applyFont="1" applyBorder="1" applyAlignment="1">
      <alignment horizontal="center"/>
    </xf>
    <xf numFmtId="0" fontId="9" fillId="0" borderId="12" xfId="0" applyFont="1" applyBorder="1" applyAlignment="1">
      <alignment horizontal="center"/>
    </xf>
    <xf numFmtId="0" fontId="5" fillId="0" borderId="0" xfId="0" applyFont="1" applyAlignment="1">
      <alignment horizontal="center" wrapText="1"/>
    </xf>
    <xf numFmtId="0" fontId="5" fillId="0" borderId="0" xfId="0" applyFont="1" applyAlignment="1">
      <alignment horizontal="left" vertical="center"/>
    </xf>
    <xf numFmtId="0" fontId="2" fillId="0" borderId="5" xfId="0" applyFont="1" applyBorder="1" applyAlignment="1">
      <alignment horizontal="center"/>
    </xf>
    <xf numFmtId="0" fontId="2" fillId="0" borderId="1"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4"/>
  <sheetViews>
    <sheetView tabSelected="1" zoomScaleNormal="100" zoomScaleSheetLayoutView="85" workbookViewId="0">
      <selection activeCell="N16" sqref="N16"/>
    </sheetView>
  </sheetViews>
  <sheetFormatPr defaultRowHeight="15.75" x14ac:dyDescent="0.25"/>
  <cols>
    <col min="1" max="1" width="6.625" customWidth="1"/>
    <col min="2" max="2" width="6.75" customWidth="1"/>
    <col min="3" max="3" width="23" customWidth="1"/>
    <col min="4" max="4" width="5.375" customWidth="1"/>
    <col min="5" max="5" width="62.875" style="4" customWidth="1"/>
    <col min="6" max="6" width="5.25" customWidth="1"/>
    <col min="7" max="7" width="16.875" style="4" customWidth="1"/>
    <col min="8" max="8" width="13.125" style="1" customWidth="1"/>
    <col min="9" max="9" width="6.25" customWidth="1"/>
    <col min="10" max="10" width="16.375" customWidth="1"/>
    <col min="12" max="12" width="9.875" bestFit="1" customWidth="1"/>
  </cols>
  <sheetData>
    <row r="1" spans="1:13" x14ac:dyDescent="0.25">
      <c r="A1" s="7" t="s">
        <v>17</v>
      </c>
      <c r="F1" s="7" t="s">
        <v>12</v>
      </c>
    </row>
    <row r="3" spans="1:13" ht="20.25" x14ac:dyDescent="0.3">
      <c r="D3" s="36" t="s">
        <v>13</v>
      </c>
      <c r="E3" s="36"/>
      <c r="F3" s="36"/>
    </row>
    <row r="4" spans="1:13" x14ac:dyDescent="0.25">
      <c r="D4" s="37" t="s">
        <v>30</v>
      </c>
      <c r="E4" s="37"/>
      <c r="F4" s="37"/>
    </row>
    <row r="5" spans="1:13" x14ac:dyDescent="0.25">
      <c r="D5" s="6"/>
      <c r="E5" s="6"/>
      <c r="F5" s="6"/>
    </row>
    <row r="6" spans="1:13" x14ac:dyDescent="0.25">
      <c r="A6" t="s">
        <v>31</v>
      </c>
    </row>
    <row r="7" spans="1:13" ht="16.5" thickBot="1" x14ac:dyDescent="0.3"/>
    <row r="8" spans="1:13" x14ac:dyDescent="0.25">
      <c r="A8" s="31" t="s">
        <v>0</v>
      </c>
      <c r="B8" s="33" t="s">
        <v>1</v>
      </c>
      <c r="C8" s="33" t="s">
        <v>2</v>
      </c>
      <c r="D8" s="33" t="s">
        <v>3</v>
      </c>
      <c r="E8" s="32" t="s">
        <v>14</v>
      </c>
      <c r="F8" s="33" t="s">
        <v>4</v>
      </c>
      <c r="G8" s="32" t="s">
        <v>5</v>
      </c>
      <c r="H8" s="34" t="s">
        <v>6</v>
      </c>
      <c r="I8" s="33" t="s">
        <v>7</v>
      </c>
      <c r="J8" s="35" t="s">
        <v>8</v>
      </c>
      <c r="M8" s="7"/>
    </row>
    <row r="9" spans="1:13" ht="31.5" x14ac:dyDescent="0.25">
      <c r="A9" s="10">
        <v>11</v>
      </c>
      <c r="B9" s="8">
        <v>4</v>
      </c>
      <c r="C9" s="19" t="s">
        <v>22</v>
      </c>
      <c r="D9" s="9" t="s">
        <v>3</v>
      </c>
      <c r="E9" s="18" t="s">
        <v>24</v>
      </c>
      <c r="F9" s="8">
        <v>1</v>
      </c>
      <c r="G9" s="22" t="s">
        <v>21</v>
      </c>
      <c r="H9" s="27">
        <v>15000000</v>
      </c>
      <c r="I9" s="28">
        <v>0.26</v>
      </c>
      <c r="J9" s="11">
        <f>(H9-H9*I9)</f>
        <v>11100000</v>
      </c>
    </row>
    <row r="10" spans="1:13" ht="31.5" x14ac:dyDescent="0.25">
      <c r="A10" s="10">
        <v>14</v>
      </c>
      <c r="B10" s="8">
        <v>4</v>
      </c>
      <c r="C10" s="19" t="s">
        <v>19</v>
      </c>
      <c r="D10" s="9" t="s">
        <v>3</v>
      </c>
      <c r="E10" s="18" t="s">
        <v>25</v>
      </c>
      <c r="F10" s="8">
        <v>1</v>
      </c>
      <c r="G10" s="22" t="s">
        <v>21</v>
      </c>
      <c r="H10" s="27">
        <v>6000000</v>
      </c>
      <c r="I10" s="28">
        <v>0.15</v>
      </c>
      <c r="J10" s="11">
        <f t="shared" ref="J10:J13" si="0">(H10-H10*I10)</f>
        <v>5100000</v>
      </c>
    </row>
    <row r="11" spans="1:13" ht="31.5" x14ac:dyDescent="0.25">
      <c r="A11" s="10">
        <v>16</v>
      </c>
      <c r="B11" s="8">
        <v>4</v>
      </c>
      <c r="C11" s="19" t="s">
        <v>20</v>
      </c>
      <c r="D11" s="9" t="s">
        <v>3</v>
      </c>
      <c r="E11" s="18" t="s">
        <v>26</v>
      </c>
      <c r="F11" s="8">
        <v>1</v>
      </c>
      <c r="G11" s="22" t="s">
        <v>21</v>
      </c>
      <c r="H11" s="27">
        <v>9000000</v>
      </c>
      <c r="I11" s="28">
        <v>0.2</v>
      </c>
      <c r="J11" s="11">
        <f t="shared" si="0"/>
        <v>7200000</v>
      </c>
    </row>
    <row r="12" spans="1:13" ht="31.5" x14ac:dyDescent="0.25">
      <c r="A12" s="10">
        <v>18</v>
      </c>
      <c r="B12" s="8">
        <v>4</v>
      </c>
      <c r="C12" s="19" t="s">
        <v>23</v>
      </c>
      <c r="D12" s="9" t="s">
        <v>3</v>
      </c>
      <c r="E12" s="18" t="s">
        <v>27</v>
      </c>
      <c r="F12" s="8">
        <v>1</v>
      </c>
      <c r="G12" s="22" t="s">
        <v>21</v>
      </c>
      <c r="H12" s="25">
        <v>10000000</v>
      </c>
      <c r="I12" s="29">
        <v>0.16</v>
      </c>
      <c r="J12" s="11">
        <f t="shared" si="0"/>
        <v>8400000</v>
      </c>
    </row>
    <row r="13" spans="1:13" ht="31.5" x14ac:dyDescent="0.25">
      <c r="A13" s="10">
        <v>20</v>
      </c>
      <c r="B13" s="8">
        <v>4</v>
      </c>
      <c r="C13" s="21" t="s">
        <v>18</v>
      </c>
      <c r="D13" s="9" t="s">
        <v>3</v>
      </c>
      <c r="E13" s="20" t="s">
        <v>28</v>
      </c>
      <c r="F13" s="8">
        <v>1</v>
      </c>
      <c r="G13" s="9" t="s">
        <v>21</v>
      </c>
      <c r="H13" s="26">
        <v>6000000</v>
      </c>
      <c r="I13" s="28">
        <v>0.3</v>
      </c>
      <c r="J13" s="11">
        <f t="shared" si="0"/>
        <v>4200000</v>
      </c>
    </row>
    <row r="14" spans="1:13" x14ac:dyDescent="0.25">
      <c r="A14" s="43" t="s">
        <v>9</v>
      </c>
      <c r="B14" s="44"/>
      <c r="C14" s="44"/>
      <c r="D14" s="44"/>
      <c r="E14" s="44"/>
      <c r="F14" s="2"/>
      <c r="G14" s="5"/>
      <c r="H14" s="3"/>
      <c r="I14" s="2"/>
      <c r="J14" s="30">
        <f>SUM(J9:J13)</f>
        <v>36000000</v>
      </c>
    </row>
    <row r="15" spans="1:13" x14ac:dyDescent="0.25">
      <c r="A15" s="43" t="s">
        <v>10</v>
      </c>
      <c r="B15" s="44"/>
      <c r="C15" s="44"/>
      <c r="D15" s="44"/>
      <c r="E15" s="44"/>
      <c r="F15" s="2"/>
      <c r="G15" s="5"/>
      <c r="H15" s="3"/>
      <c r="I15" s="2"/>
      <c r="J15" s="12">
        <f>J14*8%</f>
        <v>2880000</v>
      </c>
    </row>
    <row r="16" spans="1:13" x14ac:dyDescent="0.25">
      <c r="A16" s="45" t="s">
        <v>11</v>
      </c>
      <c r="B16" s="46"/>
      <c r="C16" s="46"/>
      <c r="D16" s="46"/>
      <c r="E16" s="46"/>
      <c r="F16" s="13"/>
      <c r="G16" s="14"/>
      <c r="H16" s="15"/>
      <c r="I16" s="13"/>
      <c r="J16" s="16">
        <f>SUM(J14:J15)</f>
        <v>38880000</v>
      </c>
      <c r="K16" s="24"/>
      <c r="L16" s="23"/>
    </row>
    <row r="17" spans="1:10" ht="16.5" thickBot="1" x14ac:dyDescent="0.3">
      <c r="A17" s="38" t="s">
        <v>29</v>
      </c>
      <c r="B17" s="39"/>
      <c r="C17" s="39"/>
      <c r="D17" s="39"/>
      <c r="E17" s="39"/>
      <c r="F17" s="39"/>
      <c r="G17" s="39"/>
      <c r="H17" s="39"/>
      <c r="I17" s="39"/>
      <c r="J17" s="40"/>
    </row>
    <row r="19" spans="1:10" s="7" customFormat="1" x14ac:dyDescent="0.25">
      <c r="A19" s="42" t="s">
        <v>32</v>
      </c>
      <c r="B19" s="42"/>
      <c r="C19" s="42"/>
      <c r="D19" s="42"/>
      <c r="E19" s="42"/>
      <c r="F19" s="42"/>
      <c r="G19" s="42"/>
      <c r="H19" s="42"/>
      <c r="I19" s="42"/>
      <c r="J19" s="42"/>
    </row>
    <row r="20" spans="1:10" s="7" customFormat="1" x14ac:dyDescent="0.25">
      <c r="A20" s="42"/>
      <c r="B20" s="42"/>
      <c r="C20" s="42"/>
      <c r="D20" s="42"/>
      <c r="E20" s="42"/>
      <c r="F20" s="42"/>
      <c r="G20" s="42"/>
      <c r="H20" s="42"/>
      <c r="I20" s="42"/>
      <c r="J20" s="42"/>
    </row>
    <row r="21" spans="1:10" s="7" customFormat="1" x14ac:dyDescent="0.25">
      <c r="A21" s="17"/>
      <c r="B21" s="17"/>
      <c r="C21" s="17"/>
      <c r="D21" s="17"/>
      <c r="E21" s="17"/>
      <c r="F21" s="17"/>
      <c r="G21" s="17"/>
      <c r="H21" s="17"/>
      <c r="I21" s="17"/>
      <c r="J21" s="17"/>
    </row>
    <row r="22" spans="1:10" x14ac:dyDescent="0.25">
      <c r="C22" s="17" t="s">
        <v>15</v>
      </c>
      <c r="G22" s="41" t="s">
        <v>15</v>
      </c>
      <c r="H22" s="41"/>
    </row>
    <row r="23" spans="1:10" x14ac:dyDescent="0.25">
      <c r="B23" s="7" t="s">
        <v>17</v>
      </c>
      <c r="F23" s="7" t="s">
        <v>16</v>
      </c>
    </row>
    <row r="24" spans="1:10" x14ac:dyDescent="0.25">
      <c r="E24"/>
      <c r="F24" s="4"/>
      <c r="G24"/>
      <c r="H24"/>
    </row>
  </sheetData>
  <mergeCells count="8">
    <mergeCell ref="D3:F3"/>
    <mergeCell ref="D4:F4"/>
    <mergeCell ref="A17:J17"/>
    <mergeCell ref="G22:H22"/>
    <mergeCell ref="A19:J20"/>
    <mergeCell ref="A14:E14"/>
    <mergeCell ref="A15:E15"/>
    <mergeCell ref="A16:E16"/>
  </mergeCells>
  <pageMargins left="0.39370078740157483" right="0" top="0.39370078740157483" bottom="0" header="0" footer="0"/>
  <pageSetup scale="75" orientation="landscape" verticalDpi="0" r:id="rId1"/>
  <rowBreaks count="1" manualBreakCount="1">
    <brk id="31"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YEN</dc:creator>
  <cp:lastModifiedBy>Phu Thuy Ha</cp:lastModifiedBy>
  <cp:lastPrinted>2025-06-16T04:02:32Z</cp:lastPrinted>
  <dcterms:created xsi:type="dcterms:W3CDTF">2025-01-20T02:33:14Z</dcterms:created>
  <dcterms:modified xsi:type="dcterms:W3CDTF">2026-04-20T02:29:48Z</dcterms:modified>
</cp:coreProperties>
</file>